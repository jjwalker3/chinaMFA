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4418\_notebooks\chinaMF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48" i="1" l="1"/>
  <c r="O48" i="1"/>
  <c r="N48" i="1"/>
  <c r="M48" i="1"/>
  <c r="L48" i="1"/>
  <c r="K48" i="1"/>
  <c r="P47" i="1"/>
  <c r="O47" i="1"/>
  <c r="N47" i="1"/>
  <c r="M47" i="1"/>
  <c r="L47" i="1"/>
  <c r="K47" i="1"/>
  <c r="P46" i="1"/>
  <c r="O46" i="1"/>
  <c r="N46" i="1"/>
  <c r="M46" i="1"/>
  <c r="L46" i="1"/>
  <c r="K46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P31" i="1"/>
  <c r="O31" i="1"/>
  <c r="N31" i="1"/>
  <c r="M31" i="1"/>
  <c r="L31" i="1"/>
  <c r="K31" i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</calcChain>
</file>

<file path=xl/sharedStrings.xml><?xml version="1.0" encoding="utf-8"?>
<sst xmlns="http://schemas.openxmlformats.org/spreadsheetml/2006/main" count="106" uniqueCount="53">
  <si>
    <t>doc_page_name</t>
  </si>
  <si>
    <t>发言人有关谈话</t>
  </si>
  <si>
    <t>外交掠影</t>
  </si>
  <si>
    <t>相关新闻</t>
  </si>
  <si>
    <t>重要文件</t>
  </si>
  <si>
    <t>重要讲话</t>
  </si>
  <si>
    <t>驻外报道</t>
  </si>
  <si>
    <t>doc_country</t>
  </si>
  <si>
    <t>丹麦</t>
  </si>
  <si>
    <t>乌克兰</t>
  </si>
  <si>
    <t>俄罗斯</t>
  </si>
  <si>
    <t>保加利亚</t>
  </si>
  <si>
    <t>克罗地亚</t>
  </si>
  <si>
    <t>冰岛</t>
  </si>
  <si>
    <t>列支敦士登</t>
  </si>
  <si>
    <t>匈牙利</t>
  </si>
  <si>
    <t>卢森堡</t>
  </si>
  <si>
    <t>圣马力诺</t>
  </si>
  <si>
    <t>塞尔维亚</t>
  </si>
  <si>
    <t>塞浦路斯</t>
  </si>
  <si>
    <t>奥地利</t>
  </si>
  <si>
    <t>安道尔</t>
  </si>
  <si>
    <t>希腊</t>
  </si>
  <si>
    <t>德国</t>
  </si>
  <si>
    <t>意大利</t>
  </si>
  <si>
    <t>拉脱维亚</t>
  </si>
  <si>
    <t>挪威</t>
  </si>
  <si>
    <t>捷克</t>
  </si>
  <si>
    <t>摩尔多瓦</t>
  </si>
  <si>
    <t>摩纳哥</t>
  </si>
  <si>
    <t>斯洛伐克</t>
  </si>
  <si>
    <t>斯洛文尼亚</t>
  </si>
  <si>
    <t>梵蒂冈</t>
  </si>
  <si>
    <t>欧盟</t>
  </si>
  <si>
    <t>比利时</t>
  </si>
  <si>
    <t>法国</t>
  </si>
  <si>
    <t>波兰</t>
  </si>
  <si>
    <t>波黑</t>
  </si>
  <si>
    <t>爱尔兰</t>
  </si>
  <si>
    <t>爱沙尼亚</t>
  </si>
  <si>
    <t>瑞典</t>
  </si>
  <si>
    <t>瑞士</t>
  </si>
  <si>
    <t>白俄罗斯</t>
  </si>
  <si>
    <t>立陶宛</t>
  </si>
  <si>
    <t>罗马尼亚</t>
  </si>
  <si>
    <t>芬兰</t>
  </si>
  <si>
    <t>英国</t>
  </si>
  <si>
    <t>荷兰</t>
  </si>
  <si>
    <t>葡萄牙</t>
  </si>
  <si>
    <t>西班牙</t>
  </si>
  <si>
    <t>阿尔巴尼亚</t>
  </si>
  <si>
    <t>马耳他</t>
  </si>
  <si>
    <t>黑山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</si>
</sst>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zoomScale="55" zoomScaleNormal="55" workbookViewId="0">
      <selection activeCell="M24" sqref="M24"/>
    </sheetView>
  </sheetViews>
  <sheetFormatPr defaultRowHeight="15" x14ac:dyDescent="0.25"/>
  <cols>
    <col min="1" max="1" width="21.42578125" style="3" bestFit="1" customWidth="1"/>
    <col min="2" max="7" width="18.140625" style="3" customWidth="1"/>
    <col min="8" max="9" width="9.140625" style="3"/>
    <col min="10" max="10" width="21.42578125" style="3" bestFit="1" customWidth="1"/>
    <col min="11" max="16" width="18.140625" style="3" customWidth="1"/>
    <col min="17" max="16384" width="9.140625" style="3"/>
  </cols>
  <sheetData>
    <row r="1" spans="1:16" x14ac:dyDescent="0.25">
      <c r="A1" s="1"/>
      <c r="B1" s="2"/>
      <c r="C1" s="2"/>
      <c r="D1" s="2"/>
      <c r="E1" s="2"/>
      <c r="F1" s="2"/>
      <c r="G1" s="2"/>
      <c r="J1" s="1"/>
      <c r="K1" s="2"/>
      <c r="L1" s="2"/>
      <c r="M1" s="2"/>
      <c r="N1" s="2"/>
      <c r="O1" s="2"/>
      <c r="P1" s="2"/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</row>
    <row r="3" spans="1:16" x14ac:dyDescent="0.25">
      <c r="A3" s="1" t="s">
        <v>7</v>
      </c>
      <c r="J3" s="1" t="s">
        <v>7</v>
      </c>
    </row>
    <row r="4" spans="1:16" x14ac:dyDescent="0.25">
      <c r="A4" s="1" t="s">
        <v>8</v>
      </c>
      <c r="B4" s="3">
        <v>3</v>
      </c>
      <c r="C4" s="3">
        <v>8</v>
      </c>
      <c r="D4" s="3">
        <v>103</v>
      </c>
      <c r="E4" s="3">
        <v>2</v>
      </c>
      <c r="F4" s="3">
        <v>1</v>
      </c>
      <c r="G4" s="3">
        <v>715</v>
      </c>
      <c r="J4" s="1" t="s">
        <v>8</v>
      </c>
      <c r="K4" s="4">
        <f>B4/SUM($B$4:$G$48)</f>
        <v>9.864527160331448E-5</v>
      </c>
      <c r="L4" s="4">
        <f t="shared" ref="L4:L48" si="0">C4/SUM($B$4:$G$48)</f>
        <v>2.6305405760883863E-4</v>
      </c>
      <c r="M4" s="4">
        <f t="shared" ref="M4:M48" si="1">D4/SUM($B$4:$G$48)</f>
        <v>3.386820991713797E-3</v>
      </c>
      <c r="N4" s="4">
        <f t="shared" ref="N4:N48" si="2">E4/SUM($B$4:$G$48)</f>
        <v>6.5763514402209658E-5</v>
      </c>
      <c r="O4" s="4">
        <f t="shared" ref="O4:O48" si="3">F4/SUM($B$4:$G$48)</f>
        <v>3.2881757201104829E-5</v>
      </c>
      <c r="P4" s="4">
        <f t="shared" ref="P4:P48" si="4">G4/SUM($B$4:$G$48)</f>
        <v>2.3510456398789951E-2</v>
      </c>
    </row>
    <row r="5" spans="1:16" x14ac:dyDescent="0.25">
      <c r="A5" s="1" t="s">
        <v>9</v>
      </c>
      <c r="B5" s="3">
        <v>12</v>
      </c>
      <c r="C5" s="3">
        <v>9</v>
      </c>
      <c r="D5" s="3">
        <v>124</v>
      </c>
      <c r="E5" s="3">
        <v>6</v>
      </c>
      <c r="F5" s="3">
        <v>0</v>
      </c>
      <c r="G5" s="3">
        <v>673</v>
      </c>
      <c r="J5" s="1" t="s">
        <v>9</v>
      </c>
      <c r="K5" s="4">
        <f t="shared" ref="K5:K48" si="5">B5/SUM($B$4:$G$48)</f>
        <v>3.9458108641325792E-4</v>
      </c>
      <c r="L5" s="4">
        <f t="shared" si="0"/>
        <v>2.9593581480994347E-4</v>
      </c>
      <c r="M5" s="4">
        <f t="shared" si="1"/>
        <v>4.077337892936999E-3</v>
      </c>
      <c r="N5" s="4">
        <f t="shared" si="2"/>
        <v>1.9729054320662896E-4</v>
      </c>
      <c r="O5" s="4">
        <f t="shared" si="3"/>
        <v>0</v>
      </c>
      <c r="P5" s="4">
        <f t="shared" si="4"/>
        <v>2.212942259634355E-2</v>
      </c>
    </row>
    <row r="6" spans="1:16" x14ac:dyDescent="0.25">
      <c r="A6" s="1" t="s">
        <v>10</v>
      </c>
      <c r="B6" s="3">
        <v>48</v>
      </c>
      <c r="C6" s="3">
        <v>16</v>
      </c>
      <c r="D6" s="3">
        <v>944</v>
      </c>
      <c r="E6" s="3">
        <v>71</v>
      </c>
      <c r="F6" s="3">
        <v>33</v>
      </c>
      <c r="G6" s="3">
        <v>998</v>
      </c>
      <c r="J6" s="1" t="s">
        <v>10</v>
      </c>
      <c r="K6" s="4">
        <f t="shared" si="5"/>
        <v>1.5783243456530317E-3</v>
      </c>
      <c r="L6" s="4">
        <f t="shared" si="0"/>
        <v>5.2610811521767726E-4</v>
      </c>
      <c r="M6" s="4">
        <f t="shared" si="1"/>
        <v>3.1040378797842955E-2</v>
      </c>
      <c r="N6" s="4">
        <f t="shared" si="2"/>
        <v>2.3346047612784427E-3</v>
      </c>
      <c r="O6" s="4">
        <f t="shared" si="3"/>
        <v>1.0850979876364593E-3</v>
      </c>
      <c r="P6" s="4">
        <f t="shared" si="4"/>
        <v>3.281599368670262E-2</v>
      </c>
    </row>
    <row r="7" spans="1:16" x14ac:dyDescent="0.25">
      <c r="A7" s="1" t="s">
        <v>11</v>
      </c>
      <c r="B7" s="3">
        <v>0</v>
      </c>
      <c r="C7" s="3">
        <v>3</v>
      </c>
      <c r="D7" s="3">
        <v>73</v>
      </c>
      <c r="E7" s="3">
        <v>6</v>
      </c>
      <c r="F7" s="3">
        <v>1</v>
      </c>
      <c r="G7" s="3">
        <v>449</v>
      </c>
      <c r="J7" s="1" t="s">
        <v>11</v>
      </c>
      <c r="K7" s="4">
        <f t="shared" si="5"/>
        <v>0</v>
      </c>
      <c r="L7" s="4">
        <f t="shared" si="0"/>
        <v>9.864527160331448E-5</v>
      </c>
      <c r="M7" s="4">
        <f t="shared" si="1"/>
        <v>2.4003682756806523E-3</v>
      </c>
      <c r="N7" s="4">
        <f t="shared" si="2"/>
        <v>1.9729054320662896E-4</v>
      </c>
      <c r="O7" s="4">
        <f t="shared" si="3"/>
        <v>3.2881757201104829E-5</v>
      </c>
      <c r="P7" s="4">
        <f t="shared" si="4"/>
        <v>1.4763908983296067E-2</v>
      </c>
    </row>
    <row r="8" spans="1:16" x14ac:dyDescent="0.25">
      <c r="A8" s="1" t="s">
        <v>12</v>
      </c>
      <c r="B8" s="3">
        <v>0</v>
      </c>
      <c r="C8" s="3">
        <v>3</v>
      </c>
      <c r="D8" s="3">
        <v>77</v>
      </c>
      <c r="E8" s="3">
        <v>3</v>
      </c>
      <c r="F8" s="3">
        <v>1</v>
      </c>
      <c r="G8" s="3">
        <v>533</v>
      </c>
      <c r="J8" s="1" t="s">
        <v>12</v>
      </c>
      <c r="K8" s="4">
        <f t="shared" si="5"/>
        <v>0</v>
      </c>
      <c r="L8" s="4">
        <f t="shared" si="0"/>
        <v>9.864527160331448E-5</v>
      </c>
      <c r="M8" s="4">
        <f t="shared" si="1"/>
        <v>2.5318953044850719E-3</v>
      </c>
      <c r="N8" s="4">
        <f t="shared" si="2"/>
        <v>9.864527160331448E-5</v>
      </c>
      <c r="O8" s="4">
        <f t="shared" si="3"/>
        <v>3.2881757201104829E-5</v>
      </c>
      <c r="P8" s="4">
        <f t="shared" si="4"/>
        <v>1.7525976588188871E-2</v>
      </c>
    </row>
    <row r="9" spans="1:16" x14ac:dyDescent="0.25">
      <c r="A9" s="1" t="s">
        <v>13</v>
      </c>
      <c r="B9" s="3">
        <v>0</v>
      </c>
      <c r="C9" s="3">
        <v>0</v>
      </c>
      <c r="D9" s="3">
        <v>37</v>
      </c>
      <c r="E9" s="3">
        <v>1</v>
      </c>
      <c r="F9" s="3">
        <v>0</v>
      </c>
      <c r="G9" s="3">
        <v>244</v>
      </c>
      <c r="J9" s="1" t="s">
        <v>13</v>
      </c>
      <c r="K9" s="4">
        <f t="shared" si="5"/>
        <v>0</v>
      </c>
      <c r="L9" s="4">
        <f t="shared" si="0"/>
        <v>0</v>
      </c>
      <c r="M9" s="4">
        <f t="shared" si="1"/>
        <v>1.2166250164408786E-3</v>
      </c>
      <c r="N9" s="4">
        <f t="shared" si="2"/>
        <v>3.2881757201104829E-5</v>
      </c>
      <c r="O9" s="4">
        <f t="shared" si="3"/>
        <v>0</v>
      </c>
      <c r="P9" s="4">
        <f t="shared" si="4"/>
        <v>8.0231487570695779E-3</v>
      </c>
    </row>
    <row r="10" spans="1:16" x14ac:dyDescent="0.25">
      <c r="A10" s="1" t="s">
        <v>14</v>
      </c>
      <c r="B10" s="3">
        <v>0</v>
      </c>
      <c r="C10" s="3">
        <v>0</v>
      </c>
      <c r="D10" s="3">
        <v>9</v>
      </c>
      <c r="E10" s="3">
        <v>0</v>
      </c>
      <c r="F10" s="3">
        <v>0</v>
      </c>
      <c r="G10" s="3">
        <v>0</v>
      </c>
      <c r="J10" s="1" t="s">
        <v>14</v>
      </c>
      <c r="K10" s="4">
        <f t="shared" si="5"/>
        <v>0</v>
      </c>
      <c r="L10" s="4">
        <f t="shared" si="0"/>
        <v>0</v>
      </c>
      <c r="M10" s="4">
        <f t="shared" si="1"/>
        <v>2.9593581480994347E-4</v>
      </c>
      <c r="N10" s="4">
        <f t="shared" si="2"/>
        <v>0</v>
      </c>
      <c r="O10" s="4">
        <f t="shared" si="3"/>
        <v>0</v>
      </c>
      <c r="P10" s="4">
        <f t="shared" si="4"/>
        <v>0</v>
      </c>
    </row>
    <row r="11" spans="1:16" x14ac:dyDescent="0.25">
      <c r="A11" s="1" t="s">
        <v>15</v>
      </c>
      <c r="B11" s="3">
        <v>1</v>
      </c>
      <c r="C11" s="3">
        <v>1</v>
      </c>
      <c r="D11" s="3">
        <v>157</v>
      </c>
      <c r="E11" s="3">
        <v>5</v>
      </c>
      <c r="F11" s="3">
        <v>0</v>
      </c>
      <c r="G11" s="3">
        <v>297</v>
      </c>
      <c r="J11" s="1" t="s">
        <v>15</v>
      </c>
      <c r="K11" s="4">
        <f t="shared" si="5"/>
        <v>3.2881757201104829E-5</v>
      </c>
      <c r="L11" s="4">
        <f t="shared" si="0"/>
        <v>3.2881757201104829E-5</v>
      </c>
      <c r="M11" s="4">
        <f t="shared" si="1"/>
        <v>5.1624358805734578E-3</v>
      </c>
      <c r="N11" s="4">
        <f t="shared" si="2"/>
        <v>1.6440878600552412E-4</v>
      </c>
      <c r="O11" s="4">
        <f t="shared" si="3"/>
        <v>0</v>
      </c>
      <c r="P11" s="4">
        <f t="shared" si="4"/>
        <v>9.7658818887281333E-3</v>
      </c>
    </row>
    <row r="12" spans="1:16" x14ac:dyDescent="0.25">
      <c r="A12" s="1" t="s">
        <v>16</v>
      </c>
      <c r="B12" s="3">
        <v>0</v>
      </c>
      <c r="C12" s="3">
        <v>2</v>
      </c>
      <c r="D12" s="3">
        <v>44</v>
      </c>
      <c r="E12" s="3">
        <v>1</v>
      </c>
      <c r="F12" s="3">
        <v>1</v>
      </c>
      <c r="G12" s="3">
        <v>164</v>
      </c>
      <c r="J12" s="1" t="s">
        <v>16</v>
      </c>
      <c r="K12" s="4">
        <f t="shared" si="5"/>
        <v>0</v>
      </c>
      <c r="L12" s="4">
        <f t="shared" si="0"/>
        <v>6.5763514402209658E-5</v>
      </c>
      <c r="M12" s="4">
        <f t="shared" si="1"/>
        <v>1.4467973168486123E-3</v>
      </c>
      <c r="N12" s="4">
        <f t="shared" si="2"/>
        <v>3.2881757201104829E-5</v>
      </c>
      <c r="O12" s="4">
        <f t="shared" si="3"/>
        <v>3.2881757201104829E-5</v>
      </c>
      <c r="P12" s="4">
        <f t="shared" si="4"/>
        <v>5.392608180981192E-3</v>
      </c>
    </row>
    <row r="13" spans="1:16" x14ac:dyDescent="0.25">
      <c r="A13" s="1" t="s">
        <v>17</v>
      </c>
      <c r="B13" s="3">
        <v>0</v>
      </c>
      <c r="C13" s="3">
        <v>0</v>
      </c>
      <c r="D13" s="3">
        <v>6</v>
      </c>
      <c r="E13" s="3">
        <v>1</v>
      </c>
      <c r="F13" s="3">
        <v>0</v>
      </c>
      <c r="G13" s="3">
        <v>0</v>
      </c>
      <c r="J13" s="1" t="s">
        <v>17</v>
      </c>
      <c r="K13" s="4">
        <f t="shared" si="5"/>
        <v>0</v>
      </c>
      <c r="L13" s="4">
        <f t="shared" si="0"/>
        <v>0</v>
      </c>
      <c r="M13" s="4">
        <f t="shared" si="1"/>
        <v>1.9729054320662896E-4</v>
      </c>
      <c r="N13" s="4">
        <f t="shared" si="2"/>
        <v>3.2881757201104829E-5</v>
      </c>
      <c r="O13" s="4">
        <f t="shared" si="3"/>
        <v>0</v>
      </c>
      <c r="P13" s="4">
        <f t="shared" si="4"/>
        <v>0</v>
      </c>
    </row>
    <row r="14" spans="1:16" x14ac:dyDescent="0.25">
      <c r="A14" s="1" t="s">
        <v>18</v>
      </c>
      <c r="B14" s="3">
        <v>4</v>
      </c>
      <c r="C14" s="3">
        <v>3</v>
      </c>
      <c r="D14" s="3">
        <v>111</v>
      </c>
      <c r="E14" s="3">
        <v>4</v>
      </c>
      <c r="F14" s="3">
        <v>1</v>
      </c>
      <c r="G14" s="3">
        <v>222</v>
      </c>
      <c r="J14" s="1" t="s">
        <v>18</v>
      </c>
      <c r="K14" s="4">
        <f t="shared" si="5"/>
        <v>1.3152702880441932E-4</v>
      </c>
      <c r="L14" s="4">
        <f t="shared" si="0"/>
        <v>9.864527160331448E-5</v>
      </c>
      <c r="M14" s="4">
        <f t="shared" si="1"/>
        <v>3.6498750493226357E-3</v>
      </c>
      <c r="N14" s="4">
        <f t="shared" si="2"/>
        <v>1.3152702880441932E-4</v>
      </c>
      <c r="O14" s="4">
        <f t="shared" si="3"/>
        <v>3.2881757201104829E-5</v>
      </c>
      <c r="P14" s="4">
        <f t="shared" si="4"/>
        <v>7.2997500986452715E-3</v>
      </c>
    </row>
    <row r="15" spans="1:16" x14ac:dyDescent="0.25">
      <c r="A15" s="1" t="s">
        <v>19</v>
      </c>
      <c r="B15" s="3">
        <v>1</v>
      </c>
      <c r="C15" s="3">
        <v>1</v>
      </c>
      <c r="D15" s="3">
        <v>48</v>
      </c>
      <c r="E15" s="3">
        <v>1</v>
      </c>
      <c r="F15" s="3">
        <v>0</v>
      </c>
      <c r="G15" s="3">
        <v>544</v>
      </c>
      <c r="J15" s="1" t="s">
        <v>19</v>
      </c>
      <c r="K15" s="4">
        <f t="shared" si="5"/>
        <v>3.2881757201104829E-5</v>
      </c>
      <c r="L15" s="4">
        <f t="shared" si="0"/>
        <v>3.2881757201104829E-5</v>
      </c>
      <c r="M15" s="4">
        <f t="shared" si="1"/>
        <v>1.5783243456530317E-3</v>
      </c>
      <c r="N15" s="4">
        <f t="shared" si="2"/>
        <v>3.2881757201104829E-5</v>
      </c>
      <c r="O15" s="4">
        <f t="shared" si="3"/>
        <v>0</v>
      </c>
      <c r="P15" s="4">
        <f t="shared" si="4"/>
        <v>1.7887675917401025E-2</v>
      </c>
    </row>
    <row r="16" spans="1:16" x14ac:dyDescent="0.25">
      <c r="A16" s="1" t="s">
        <v>20</v>
      </c>
      <c r="B16" s="3">
        <v>4</v>
      </c>
      <c r="C16" s="3">
        <v>6</v>
      </c>
      <c r="D16" s="3">
        <v>85</v>
      </c>
      <c r="E16" s="3">
        <v>3</v>
      </c>
      <c r="F16" s="3">
        <v>0</v>
      </c>
      <c r="G16" s="3">
        <v>626</v>
      </c>
      <c r="J16" s="1" t="s">
        <v>20</v>
      </c>
      <c r="K16" s="4">
        <f t="shared" si="5"/>
        <v>1.3152702880441932E-4</v>
      </c>
      <c r="L16" s="4">
        <f t="shared" si="0"/>
        <v>1.9729054320662896E-4</v>
      </c>
      <c r="M16" s="4">
        <f t="shared" si="1"/>
        <v>2.7949493620939101E-3</v>
      </c>
      <c r="N16" s="4">
        <f t="shared" si="2"/>
        <v>9.864527160331448E-5</v>
      </c>
      <c r="O16" s="4">
        <f t="shared" si="3"/>
        <v>0</v>
      </c>
      <c r="P16" s="4">
        <f t="shared" si="4"/>
        <v>2.0583980007891623E-2</v>
      </c>
    </row>
    <row r="17" spans="1:16" x14ac:dyDescent="0.25">
      <c r="A17" s="1" t="s">
        <v>21</v>
      </c>
      <c r="B17" s="3">
        <v>0</v>
      </c>
      <c r="C17" s="3">
        <v>0</v>
      </c>
      <c r="D17" s="3">
        <v>3</v>
      </c>
      <c r="E17" s="3">
        <v>1</v>
      </c>
      <c r="F17" s="3">
        <v>0</v>
      </c>
      <c r="G17" s="3">
        <v>3</v>
      </c>
      <c r="J17" s="1" t="s">
        <v>21</v>
      </c>
      <c r="K17" s="4">
        <f t="shared" si="5"/>
        <v>0</v>
      </c>
      <c r="L17" s="4">
        <f t="shared" si="0"/>
        <v>0</v>
      </c>
      <c r="M17" s="4">
        <f t="shared" si="1"/>
        <v>9.864527160331448E-5</v>
      </c>
      <c r="N17" s="4">
        <f t="shared" si="2"/>
        <v>3.2881757201104829E-5</v>
      </c>
      <c r="O17" s="4">
        <f t="shared" si="3"/>
        <v>0</v>
      </c>
      <c r="P17" s="4">
        <f t="shared" si="4"/>
        <v>9.864527160331448E-5</v>
      </c>
    </row>
    <row r="18" spans="1:16" x14ac:dyDescent="0.25">
      <c r="A18" s="1" t="s">
        <v>22</v>
      </c>
      <c r="B18" s="3">
        <v>5</v>
      </c>
      <c r="C18" s="3">
        <v>8</v>
      </c>
      <c r="D18" s="3">
        <v>133</v>
      </c>
      <c r="E18" s="3">
        <v>7</v>
      </c>
      <c r="F18" s="3">
        <v>4</v>
      </c>
      <c r="G18" s="3">
        <v>1041</v>
      </c>
      <c r="J18" s="1" t="s">
        <v>22</v>
      </c>
      <c r="K18" s="4">
        <f t="shared" si="5"/>
        <v>1.6440878600552412E-4</v>
      </c>
      <c r="L18" s="4">
        <f t="shared" si="0"/>
        <v>2.6305405760883863E-4</v>
      </c>
      <c r="M18" s="4">
        <f t="shared" si="1"/>
        <v>4.3732737077469422E-3</v>
      </c>
      <c r="N18" s="4">
        <f t="shared" si="2"/>
        <v>2.301723004077338E-4</v>
      </c>
      <c r="O18" s="4">
        <f t="shared" si="3"/>
        <v>1.3152702880441932E-4</v>
      </c>
      <c r="P18" s="4">
        <f t="shared" si="4"/>
        <v>3.4229909246350124E-2</v>
      </c>
    </row>
    <row r="19" spans="1:16" x14ac:dyDescent="0.25">
      <c r="A19" s="1" t="s">
        <v>23</v>
      </c>
      <c r="B19" s="3">
        <v>18</v>
      </c>
      <c r="C19" s="3">
        <v>29</v>
      </c>
      <c r="D19" s="3">
        <v>553</v>
      </c>
      <c r="E19" s="3">
        <v>14</v>
      </c>
      <c r="F19" s="3">
        <v>21</v>
      </c>
      <c r="G19" s="3">
        <v>1006</v>
      </c>
      <c r="J19" s="1" t="s">
        <v>23</v>
      </c>
      <c r="K19" s="4">
        <f t="shared" si="5"/>
        <v>5.9187162961988693E-4</v>
      </c>
      <c r="L19" s="4">
        <f t="shared" si="0"/>
        <v>9.5357095883203996E-4</v>
      </c>
      <c r="M19" s="4">
        <f t="shared" si="1"/>
        <v>1.8183611732210968E-2</v>
      </c>
      <c r="N19" s="4">
        <f t="shared" si="2"/>
        <v>4.6034460081546759E-4</v>
      </c>
      <c r="O19" s="4">
        <f t="shared" si="3"/>
        <v>6.9051690122320139E-4</v>
      </c>
      <c r="P19" s="4">
        <f t="shared" si="4"/>
        <v>3.3079047744311453E-2</v>
      </c>
    </row>
    <row r="20" spans="1:16" x14ac:dyDescent="0.25">
      <c r="A20" s="1" t="s">
        <v>24</v>
      </c>
      <c r="B20" s="3">
        <v>8</v>
      </c>
      <c r="C20" s="3">
        <v>17</v>
      </c>
      <c r="D20" s="3">
        <v>159</v>
      </c>
      <c r="E20" s="3">
        <v>10</v>
      </c>
      <c r="F20" s="3">
        <v>0</v>
      </c>
      <c r="G20" s="3">
        <v>1002</v>
      </c>
      <c r="J20" s="1" t="s">
        <v>24</v>
      </c>
      <c r="K20" s="4">
        <f t="shared" si="5"/>
        <v>2.6305405760883863E-4</v>
      </c>
      <c r="L20" s="4">
        <f t="shared" si="0"/>
        <v>5.5898987241878204E-4</v>
      </c>
      <c r="M20" s="4">
        <f t="shared" si="1"/>
        <v>5.2281993949756678E-3</v>
      </c>
      <c r="N20" s="4">
        <f t="shared" si="2"/>
        <v>3.2881757201104825E-4</v>
      </c>
      <c r="O20" s="4">
        <f t="shared" si="3"/>
        <v>0</v>
      </c>
      <c r="P20" s="4">
        <f t="shared" si="4"/>
        <v>3.2947520715507037E-2</v>
      </c>
    </row>
    <row r="21" spans="1:16" x14ac:dyDescent="0.25">
      <c r="A21" s="1" t="s">
        <v>25</v>
      </c>
      <c r="B21" s="3">
        <v>1</v>
      </c>
      <c r="C21" s="3">
        <v>2</v>
      </c>
      <c r="D21" s="3">
        <v>87</v>
      </c>
      <c r="E21" s="3">
        <v>1</v>
      </c>
      <c r="F21" s="3">
        <v>1</v>
      </c>
      <c r="G21" s="3">
        <v>391</v>
      </c>
      <c r="J21" s="1" t="s">
        <v>25</v>
      </c>
      <c r="K21" s="4">
        <f t="shared" si="5"/>
        <v>3.2881757201104829E-5</v>
      </c>
      <c r="L21" s="4">
        <f t="shared" si="0"/>
        <v>6.5763514402209658E-5</v>
      </c>
      <c r="M21" s="4">
        <f t="shared" si="1"/>
        <v>2.8607128764961201E-3</v>
      </c>
      <c r="N21" s="4">
        <f t="shared" si="2"/>
        <v>3.2881757201104829E-5</v>
      </c>
      <c r="O21" s="4">
        <f t="shared" si="3"/>
        <v>3.2881757201104829E-5</v>
      </c>
      <c r="P21" s="4">
        <f t="shared" si="4"/>
        <v>1.2856767065631988E-2</v>
      </c>
    </row>
    <row r="22" spans="1:16" x14ac:dyDescent="0.25">
      <c r="A22" s="1" t="s">
        <v>26</v>
      </c>
      <c r="B22" s="3">
        <v>4</v>
      </c>
      <c r="C22" s="3">
        <v>0</v>
      </c>
      <c r="D22" s="3">
        <v>57</v>
      </c>
      <c r="E22" s="3">
        <v>1</v>
      </c>
      <c r="F22" s="3">
        <v>1</v>
      </c>
      <c r="G22" s="3">
        <v>137</v>
      </c>
      <c r="J22" s="1" t="s">
        <v>26</v>
      </c>
      <c r="K22" s="4">
        <f t="shared" si="5"/>
        <v>1.3152702880441932E-4</v>
      </c>
      <c r="L22" s="4">
        <f t="shared" si="0"/>
        <v>0</v>
      </c>
      <c r="M22" s="4">
        <f t="shared" si="1"/>
        <v>1.8742601604629751E-3</v>
      </c>
      <c r="N22" s="4">
        <f t="shared" si="2"/>
        <v>3.2881757201104829E-5</v>
      </c>
      <c r="O22" s="4">
        <f t="shared" si="3"/>
        <v>3.2881757201104829E-5</v>
      </c>
      <c r="P22" s="4">
        <f t="shared" si="4"/>
        <v>4.5048007365513613E-3</v>
      </c>
    </row>
    <row r="23" spans="1:16" x14ac:dyDescent="0.25">
      <c r="A23" s="1" t="s">
        <v>27</v>
      </c>
      <c r="B23" s="3">
        <v>1</v>
      </c>
      <c r="C23" s="3">
        <v>3</v>
      </c>
      <c r="D23" s="3">
        <v>104</v>
      </c>
      <c r="E23" s="3">
        <v>5</v>
      </c>
      <c r="F23" s="3">
        <v>1</v>
      </c>
      <c r="G23" s="3">
        <v>732</v>
      </c>
      <c r="J23" s="1" t="s">
        <v>27</v>
      </c>
      <c r="K23" s="4">
        <f t="shared" si="5"/>
        <v>3.2881757201104829E-5</v>
      </c>
      <c r="L23" s="4">
        <f t="shared" si="0"/>
        <v>9.864527160331448E-5</v>
      </c>
      <c r="M23" s="4">
        <f t="shared" si="1"/>
        <v>3.419702748914902E-3</v>
      </c>
      <c r="N23" s="4">
        <f t="shared" si="2"/>
        <v>1.6440878600552412E-4</v>
      </c>
      <c r="O23" s="4">
        <f t="shared" si="3"/>
        <v>3.2881757201104829E-5</v>
      </c>
      <c r="P23" s="4">
        <f t="shared" si="4"/>
        <v>2.4069446271208734E-2</v>
      </c>
    </row>
    <row r="24" spans="1:16" x14ac:dyDescent="0.25">
      <c r="A24" s="1" t="s">
        <v>28</v>
      </c>
      <c r="B24" s="3">
        <v>1</v>
      </c>
      <c r="C24" s="3">
        <v>0</v>
      </c>
      <c r="D24" s="3">
        <v>40</v>
      </c>
      <c r="E24" s="3">
        <v>5</v>
      </c>
      <c r="F24" s="3">
        <v>0</v>
      </c>
      <c r="G24" s="3">
        <v>297</v>
      </c>
      <c r="J24" s="1" t="s">
        <v>28</v>
      </c>
      <c r="K24" s="4">
        <f t="shared" si="5"/>
        <v>3.2881757201104829E-5</v>
      </c>
      <c r="L24" s="4">
        <f t="shared" si="0"/>
        <v>0</v>
      </c>
      <c r="M24" s="4">
        <f t="shared" si="1"/>
        <v>1.315270288044193E-3</v>
      </c>
      <c r="N24" s="4">
        <f t="shared" si="2"/>
        <v>1.6440878600552412E-4</v>
      </c>
      <c r="O24" s="4">
        <f t="shared" si="3"/>
        <v>0</v>
      </c>
      <c r="P24" s="4">
        <f t="shared" si="4"/>
        <v>9.7658818887281333E-3</v>
      </c>
    </row>
    <row r="25" spans="1:16" x14ac:dyDescent="0.25">
      <c r="A25" s="1" t="s">
        <v>29</v>
      </c>
      <c r="B25" s="3">
        <v>0</v>
      </c>
      <c r="C25" s="3">
        <v>0</v>
      </c>
      <c r="D25" s="3">
        <v>11</v>
      </c>
      <c r="E25" s="3">
        <v>0</v>
      </c>
      <c r="F25" s="3">
        <v>0</v>
      </c>
      <c r="G25" s="3">
        <v>0</v>
      </c>
      <c r="J25" s="1" t="s">
        <v>29</v>
      </c>
      <c r="K25" s="4">
        <f t="shared" si="5"/>
        <v>0</v>
      </c>
      <c r="L25" s="4">
        <f t="shared" si="0"/>
        <v>0</v>
      </c>
      <c r="M25" s="4">
        <f t="shared" si="1"/>
        <v>3.6169932921215308E-4</v>
      </c>
      <c r="N25" s="4">
        <f t="shared" si="2"/>
        <v>0</v>
      </c>
      <c r="O25" s="4">
        <f t="shared" si="3"/>
        <v>0</v>
      </c>
      <c r="P25" s="4">
        <f t="shared" si="4"/>
        <v>0</v>
      </c>
    </row>
    <row r="26" spans="1:16" x14ac:dyDescent="0.25">
      <c r="A26" s="1" t="s">
        <v>30</v>
      </c>
      <c r="B26" s="3">
        <v>2</v>
      </c>
      <c r="C26" s="3">
        <v>0</v>
      </c>
      <c r="D26" s="3">
        <v>60</v>
      </c>
      <c r="E26" s="3">
        <v>2</v>
      </c>
      <c r="F26" s="3">
        <v>0</v>
      </c>
      <c r="G26" s="3">
        <v>515</v>
      </c>
      <c r="J26" s="1" t="s">
        <v>30</v>
      </c>
      <c r="K26" s="4">
        <f t="shared" si="5"/>
        <v>6.5763514402209658E-5</v>
      </c>
      <c r="L26" s="4">
        <f t="shared" si="0"/>
        <v>0</v>
      </c>
      <c r="M26" s="4">
        <f t="shared" si="1"/>
        <v>1.9729054320662895E-3</v>
      </c>
      <c r="N26" s="4">
        <f t="shared" si="2"/>
        <v>6.5763514402209658E-5</v>
      </c>
      <c r="O26" s="4">
        <f t="shared" si="3"/>
        <v>0</v>
      </c>
      <c r="P26" s="4">
        <f t="shared" si="4"/>
        <v>1.6934104958568987E-2</v>
      </c>
    </row>
    <row r="27" spans="1:16" x14ac:dyDescent="0.25">
      <c r="A27" s="1" t="s">
        <v>31</v>
      </c>
      <c r="B27" s="3">
        <v>2</v>
      </c>
      <c r="C27" s="3">
        <v>1</v>
      </c>
      <c r="D27" s="3">
        <v>69</v>
      </c>
      <c r="E27" s="3">
        <v>3</v>
      </c>
      <c r="F27" s="3">
        <v>0</v>
      </c>
      <c r="G27" s="3">
        <v>29</v>
      </c>
      <c r="J27" s="1" t="s">
        <v>31</v>
      </c>
      <c r="K27" s="4">
        <f t="shared" si="5"/>
        <v>6.5763514402209658E-5</v>
      </c>
      <c r="L27" s="4">
        <f t="shared" si="0"/>
        <v>3.2881757201104829E-5</v>
      </c>
      <c r="M27" s="4">
        <f t="shared" si="1"/>
        <v>2.2688412468762332E-3</v>
      </c>
      <c r="N27" s="4">
        <f t="shared" si="2"/>
        <v>9.864527160331448E-5</v>
      </c>
      <c r="O27" s="4">
        <f t="shared" si="3"/>
        <v>0</v>
      </c>
      <c r="P27" s="4">
        <f t="shared" si="4"/>
        <v>9.5357095883203996E-4</v>
      </c>
    </row>
    <row r="28" spans="1:16" x14ac:dyDescent="0.25">
      <c r="A28" s="1" t="s">
        <v>32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J28" s="1" t="s">
        <v>32</v>
      </c>
      <c r="K28" s="4">
        <f t="shared" si="5"/>
        <v>0</v>
      </c>
      <c r="L28" s="4">
        <f t="shared" si="0"/>
        <v>0</v>
      </c>
      <c r="M28" s="4">
        <f t="shared" si="1"/>
        <v>3.2881757201104829E-5</v>
      </c>
      <c r="N28" s="4">
        <f t="shared" si="2"/>
        <v>0</v>
      </c>
      <c r="O28" s="4">
        <f t="shared" si="3"/>
        <v>0</v>
      </c>
      <c r="P28" s="4">
        <f t="shared" si="4"/>
        <v>0</v>
      </c>
    </row>
    <row r="29" spans="1:16" x14ac:dyDescent="0.25">
      <c r="A29" s="1" t="s">
        <v>33</v>
      </c>
      <c r="B29" s="3">
        <v>67</v>
      </c>
      <c r="C29" s="3">
        <v>65</v>
      </c>
      <c r="D29" s="3">
        <v>387</v>
      </c>
      <c r="E29" s="3">
        <v>30</v>
      </c>
      <c r="F29" s="3">
        <v>12</v>
      </c>
      <c r="G29" s="3">
        <v>568</v>
      </c>
      <c r="J29" s="1" t="s">
        <v>33</v>
      </c>
      <c r="K29" s="4">
        <f t="shared" si="5"/>
        <v>2.2030777324740236E-3</v>
      </c>
      <c r="L29" s="4">
        <f t="shared" si="0"/>
        <v>2.1373142180718136E-3</v>
      </c>
      <c r="M29" s="4">
        <f t="shared" si="1"/>
        <v>1.2725240036827568E-2</v>
      </c>
      <c r="N29" s="4">
        <f t="shared" si="2"/>
        <v>9.8645271603314474E-4</v>
      </c>
      <c r="O29" s="4">
        <f t="shared" si="3"/>
        <v>3.9458108641325792E-4</v>
      </c>
      <c r="P29" s="4">
        <f t="shared" si="4"/>
        <v>1.8676838090227542E-2</v>
      </c>
    </row>
    <row r="30" spans="1:16" x14ac:dyDescent="0.25">
      <c r="A30" s="1" t="s">
        <v>34</v>
      </c>
      <c r="B30" s="3">
        <v>5</v>
      </c>
      <c r="C30" s="3">
        <v>8</v>
      </c>
      <c r="D30" s="3">
        <v>119</v>
      </c>
      <c r="E30" s="3">
        <v>3</v>
      </c>
      <c r="F30" s="3">
        <v>5</v>
      </c>
      <c r="G30" s="3">
        <v>716</v>
      </c>
      <c r="J30" s="1" t="s">
        <v>34</v>
      </c>
      <c r="K30" s="4">
        <f t="shared" si="5"/>
        <v>1.6440878600552412E-4</v>
      </c>
      <c r="L30" s="4">
        <f t="shared" si="0"/>
        <v>2.6305405760883863E-4</v>
      </c>
      <c r="M30" s="4">
        <f t="shared" si="1"/>
        <v>3.9129291069314748E-3</v>
      </c>
      <c r="N30" s="4">
        <f t="shared" si="2"/>
        <v>9.864527160331448E-5</v>
      </c>
      <c r="O30" s="4">
        <f t="shared" si="3"/>
        <v>1.6440878600552412E-4</v>
      </c>
      <c r="P30" s="4">
        <f t="shared" si="4"/>
        <v>2.3543338155991057E-2</v>
      </c>
    </row>
    <row r="31" spans="1:16" x14ac:dyDescent="0.25">
      <c r="A31" s="1" t="s">
        <v>35</v>
      </c>
      <c r="B31" s="3">
        <v>16</v>
      </c>
      <c r="C31" s="3">
        <v>57</v>
      </c>
      <c r="D31" s="3">
        <v>486</v>
      </c>
      <c r="E31" s="3">
        <v>6</v>
      </c>
      <c r="F31" s="3">
        <v>11</v>
      </c>
      <c r="G31" s="3">
        <v>997</v>
      </c>
      <c r="J31" s="1" t="s">
        <v>35</v>
      </c>
      <c r="K31" s="4">
        <f t="shared" si="5"/>
        <v>5.2610811521767726E-4</v>
      </c>
      <c r="L31" s="4">
        <f t="shared" si="0"/>
        <v>1.8742601604629751E-3</v>
      </c>
      <c r="M31" s="4">
        <f t="shared" si="1"/>
        <v>1.5980533999736948E-2</v>
      </c>
      <c r="N31" s="4">
        <f t="shared" si="2"/>
        <v>1.9729054320662896E-4</v>
      </c>
      <c r="O31" s="4">
        <f t="shared" si="3"/>
        <v>3.6169932921215308E-4</v>
      </c>
      <c r="P31" s="4">
        <f t="shared" si="4"/>
        <v>3.2783111929501514E-2</v>
      </c>
    </row>
    <row r="32" spans="1:16" x14ac:dyDescent="0.25">
      <c r="A32" s="1" t="s">
        <v>36</v>
      </c>
      <c r="B32" s="3">
        <v>2</v>
      </c>
      <c r="C32" s="3">
        <v>19</v>
      </c>
      <c r="D32" s="3">
        <v>127</v>
      </c>
      <c r="E32" s="3">
        <v>6</v>
      </c>
      <c r="F32" s="3">
        <v>1</v>
      </c>
      <c r="G32" s="3">
        <v>451</v>
      </c>
      <c r="J32" s="1" t="s">
        <v>36</v>
      </c>
      <c r="K32" s="4">
        <f t="shared" si="5"/>
        <v>6.5763514402209658E-5</v>
      </c>
      <c r="L32" s="4">
        <f t="shared" si="0"/>
        <v>6.2475338682099171E-4</v>
      </c>
      <c r="M32" s="4">
        <f t="shared" si="1"/>
        <v>4.1759831645403131E-3</v>
      </c>
      <c r="N32" s="4">
        <f t="shared" si="2"/>
        <v>1.9729054320662896E-4</v>
      </c>
      <c r="O32" s="4">
        <f t="shared" si="3"/>
        <v>3.2881757201104829E-5</v>
      </c>
      <c r="P32" s="4">
        <f t="shared" si="4"/>
        <v>1.4829672497698277E-2</v>
      </c>
    </row>
    <row r="33" spans="1:16" x14ac:dyDescent="0.25">
      <c r="A33" s="1" t="s">
        <v>37</v>
      </c>
      <c r="B33" s="3">
        <v>0</v>
      </c>
      <c r="C33" s="3">
        <v>7</v>
      </c>
      <c r="D33" s="3">
        <v>33</v>
      </c>
      <c r="E33" s="3">
        <v>2</v>
      </c>
      <c r="F33" s="3">
        <v>0</v>
      </c>
      <c r="G33" s="3">
        <v>381</v>
      </c>
      <c r="J33" s="1" t="s">
        <v>37</v>
      </c>
      <c r="K33" s="4">
        <f t="shared" si="5"/>
        <v>0</v>
      </c>
      <c r="L33" s="4">
        <f t="shared" si="0"/>
        <v>2.301723004077338E-4</v>
      </c>
      <c r="M33" s="4">
        <f t="shared" si="1"/>
        <v>1.0850979876364593E-3</v>
      </c>
      <c r="N33" s="4">
        <f t="shared" si="2"/>
        <v>6.5763514402209658E-5</v>
      </c>
      <c r="O33" s="4">
        <f t="shared" si="3"/>
        <v>0</v>
      </c>
      <c r="P33" s="4">
        <f t="shared" si="4"/>
        <v>1.2527949493620939E-2</v>
      </c>
    </row>
    <row r="34" spans="1:16" x14ac:dyDescent="0.25">
      <c r="A34" s="1" t="s">
        <v>38</v>
      </c>
      <c r="B34" s="3">
        <v>0</v>
      </c>
      <c r="C34" s="3">
        <v>3</v>
      </c>
      <c r="D34" s="3">
        <v>79</v>
      </c>
      <c r="E34" s="3">
        <v>2</v>
      </c>
      <c r="F34" s="3">
        <v>1</v>
      </c>
      <c r="G34" s="3">
        <v>734</v>
      </c>
      <c r="J34" s="1" t="s">
        <v>38</v>
      </c>
      <c r="K34" s="4">
        <f t="shared" si="5"/>
        <v>0</v>
      </c>
      <c r="L34" s="4">
        <f t="shared" si="0"/>
        <v>9.864527160331448E-5</v>
      </c>
      <c r="M34" s="4">
        <f t="shared" si="1"/>
        <v>2.5976588188872814E-3</v>
      </c>
      <c r="N34" s="4">
        <f t="shared" si="2"/>
        <v>6.5763514402209658E-5</v>
      </c>
      <c r="O34" s="4">
        <f t="shared" si="3"/>
        <v>3.2881757201104829E-5</v>
      </c>
      <c r="P34" s="4">
        <f t="shared" si="4"/>
        <v>2.4135209785610942E-2</v>
      </c>
    </row>
    <row r="35" spans="1:16" x14ac:dyDescent="0.25">
      <c r="A35" s="1" t="s">
        <v>39</v>
      </c>
      <c r="B35" s="3">
        <v>1</v>
      </c>
      <c r="C35" s="3">
        <v>0</v>
      </c>
      <c r="D35" s="3">
        <v>50</v>
      </c>
      <c r="E35" s="3">
        <v>1</v>
      </c>
      <c r="F35" s="3">
        <v>0</v>
      </c>
      <c r="G35" s="3">
        <v>320</v>
      </c>
      <c r="J35" s="1" t="s">
        <v>39</v>
      </c>
      <c r="K35" s="4">
        <f t="shared" si="5"/>
        <v>3.2881757201104829E-5</v>
      </c>
      <c r="L35" s="4">
        <f t="shared" si="0"/>
        <v>0</v>
      </c>
      <c r="M35" s="4">
        <f t="shared" si="1"/>
        <v>1.6440878600552415E-3</v>
      </c>
      <c r="N35" s="4">
        <f t="shared" si="2"/>
        <v>3.2881757201104829E-5</v>
      </c>
      <c r="O35" s="4">
        <f t="shared" si="3"/>
        <v>0</v>
      </c>
      <c r="P35" s="4">
        <f t="shared" si="4"/>
        <v>1.0522162304353544E-2</v>
      </c>
    </row>
    <row r="36" spans="1:16" x14ac:dyDescent="0.25">
      <c r="A36" s="1" t="s">
        <v>40</v>
      </c>
      <c r="B36" s="3">
        <v>5</v>
      </c>
      <c r="C36" s="3">
        <v>6</v>
      </c>
      <c r="D36" s="3">
        <v>81</v>
      </c>
      <c r="E36" s="3">
        <v>1</v>
      </c>
      <c r="F36" s="3">
        <v>0</v>
      </c>
      <c r="G36" s="3">
        <v>463</v>
      </c>
      <c r="J36" s="1" t="s">
        <v>40</v>
      </c>
      <c r="K36" s="4">
        <f t="shared" si="5"/>
        <v>1.6440878600552412E-4</v>
      </c>
      <c r="L36" s="4">
        <f t="shared" si="0"/>
        <v>1.9729054320662896E-4</v>
      </c>
      <c r="M36" s="4">
        <f t="shared" si="1"/>
        <v>2.663422333289491E-3</v>
      </c>
      <c r="N36" s="4">
        <f t="shared" si="2"/>
        <v>3.2881757201104829E-5</v>
      </c>
      <c r="O36" s="4">
        <f t="shared" si="3"/>
        <v>0</v>
      </c>
      <c r="P36" s="4">
        <f t="shared" si="4"/>
        <v>1.5224253584111535E-2</v>
      </c>
    </row>
    <row r="37" spans="1:16" x14ac:dyDescent="0.25">
      <c r="A37" s="1" t="s">
        <v>41</v>
      </c>
      <c r="B37" s="3">
        <v>4</v>
      </c>
      <c r="C37" s="3">
        <v>14</v>
      </c>
      <c r="D37" s="3">
        <v>135</v>
      </c>
      <c r="E37" s="3">
        <v>2</v>
      </c>
      <c r="F37" s="3">
        <v>4</v>
      </c>
      <c r="G37" s="3">
        <v>1003</v>
      </c>
      <c r="J37" s="1" t="s">
        <v>41</v>
      </c>
      <c r="K37" s="4">
        <f t="shared" si="5"/>
        <v>1.3152702880441932E-4</v>
      </c>
      <c r="L37" s="4">
        <f t="shared" si="0"/>
        <v>4.6034460081546759E-4</v>
      </c>
      <c r="M37" s="4">
        <f t="shared" si="1"/>
        <v>4.4390372221491513E-3</v>
      </c>
      <c r="N37" s="4">
        <f t="shared" si="2"/>
        <v>6.5763514402209658E-5</v>
      </c>
      <c r="O37" s="4">
        <f t="shared" si="3"/>
        <v>1.3152702880441932E-4</v>
      </c>
      <c r="P37" s="4">
        <f t="shared" si="4"/>
        <v>3.2980402472708142E-2</v>
      </c>
    </row>
    <row r="38" spans="1:16" x14ac:dyDescent="0.25">
      <c r="A38" s="1" t="s">
        <v>42</v>
      </c>
      <c r="B38" s="3">
        <v>3</v>
      </c>
      <c r="C38" s="3">
        <v>2</v>
      </c>
      <c r="D38" s="3">
        <v>112</v>
      </c>
      <c r="E38" s="3">
        <v>9</v>
      </c>
      <c r="F38" s="3">
        <v>1</v>
      </c>
      <c r="G38" s="3">
        <v>617</v>
      </c>
      <c r="J38" s="1" t="s">
        <v>42</v>
      </c>
      <c r="K38" s="4">
        <f t="shared" si="5"/>
        <v>9.864527160331448E-5</v>
      </c>
      <c r="L38" s="4">
        <f t="shared" si="0"/>
        <v>6.5763514402209658E-5</v>
      </c>
      <c r="M38" s="4">
        <f t="shared" si="1"/>
        <v>3.6827568065237407E-3</v>
      </c>
      <c r="N38" s="4">
        <f t="shared" si="2"/>
        <v>2.9593581480994347E-4</v>
      </c>
      <c r="O38" s="4">
        <f t="shared" si="3"/>
        <v>3.2881757201104829E-5</v>
      </c>
      <c r="P38" s="4">
        <f t="shared" si="4"/>
        <v>2.0288044193081677E-2</v>
      </c>
    </row>
    <row r="39" spans="1:16" x14ac:dyDescent="0.25">
      <c r="A39" s="1" t="s">
        <v>43</v>
      </c>
      <c r="B39" s="3">
        <v>2</v>
      </c>
      <c r="C39" s="3">
        <v>3</v>
      </c>
      <c r="D39" s="3">
        <v>49</v>
      </c>
      <c r="E39" s="3">
        <v>2</v>
      </c>
      <c r="F39" s="3">
        <v>0</v>
      </c>
      <c r="G39" s="3">
        <v>568</v>
      </c>
      <c r="J39" s="1" t="s">
        <v>43</v>
      </c>
      <c r="K39" s="4">
        <f t="shared" si="5"/>
        <v>6.5763514402209658E-5</v>
      </c>
      <c r="L39" s="4">
        <f t="shared" si="0"/>
        <v>9.864527160331448E-5</v>
      </c>
      <c r="M39" s="4">
        <f t="shared" si="1"/>
        <v>1.6112061028541365E-3</v>
      </c>
      <c r="N39" s="4">
        <f t="shared" si="2"/>
        <v>6.5763514402209658E-5</v>
      </c>
      <c r="O39" s="4">
        <f t="shared" si="3"/>
        <v>0</v>
      </c>
      <c r="P39" s="4">
        <f t="shared" si="4"/>
        <v>1.8676838090227542E-2</v>
      </c>
    </row>
    <row r="40" spans="1:16" x14ac:dyDescent="0.25">
      <c r="A40" s="1" t="s">
        <v>44</v>
      </c>
      <c r="B40" s="3">
        <v>0</v>
      </c>
      <c r="C40" s="3">
        <v>13</v>
      </c>
      <c r="D40" s="3">
        <v>115</v>
      </c>
      <c r="E40" s="3">
        <v>6</v>
      </c>
      <c r="F40" s="3">
        <v>2</v>
      </c>
      <c r="G40" s="3">
        <v>1004</v>
      </c>
      <c r="J40" s="1" t="s">
        <v>44</v>
      </c>
      <c r="K40" s="4">
        <f t="shared" si="5"/>
        <v>0</v>
      </c>
      <c r="L40" s="4">
        <f t="shared" si="0"/>
        <v>4.2746284361436276E-4</v>
      </c>
      <c r="M40" s="4">
        <f t="shared" si="1"/>
        <v>3.7814020781270553E-3</v>
      </c>
      <c r="N40" s="4">
        <f t="shared" si="2"/>
        <v>1.9729054320662896E-4</v>
      </c>
      <c r="O40" s="4">
        <f t="shared" si="3"/>
        <v>6.5763514402209658E-5</v>
      </c>
      <c r="P40" s="4">
        <f t="shared" si="4"/>
        <v>3.3013284229909248E-2</v>
      </c>
    </row>
    <row r="41" spans="1:16" x14ac:dyDescent="0.25">
      <c r="A41" s="1" t="s">
        <v>45</v>
      </c>
      <c r="B41" s="3">
        <v>1</v>
      </c>
      <c r="C41" s="3">
        <v>4</v>
      </c>
      <c r="D41" s="3">
        <v>104</v>
      </c>
      <c r="E41" s="3">
        <v>1</v>
      </c>
      <c r="F41" s="3">
        <v>3</v>
      </c>
      <c r="G41" s="3">
        <v>603</v>
      </c>
      <c r="J41" s="1" t="s">
        <v>45</v>
      </c>
      <c r="K41" s="4">
        <f t="shared" si="5"/>
        <v>3.2881757201104829E-5</v>
      </c>
      <c r="L41" s="4">
        <f t="shared" si="0"/>
        <v>1.3152702880441932E-4</v>
      </c>
      <c r="M41" s="4">
        <f t="shared" si="1"/>
        <v>3.419702748914902E-3</v>
      </c>
      <c r="N41" s="4">
        <f t="shared" si="2"/>
        <v>3.2881757201104829E-5</v>
      </c>
      <c r="O41" s="4">
        <f t="shared" si="3"/>
        <v>9.864527160331448E-5</v>
      </c>
      <c r="P41" s="4">
        <f t="shared" si="4"/>
        <v>1.9827699592266209E-2</v>
      </c>
    </row>
    <row r="42" spans="1:16" x14ac:dyDescent="0.25">
      <c r="A42" s="1" t="s">
        <v>46</v>
      </c>
      <c r="B42" s="3">
        <v>29</v>
      </c>
      <c r="C42" s="3">
        <v>217</v>
      </c>
      <c r="D42" s="3">
        <v>491</v>
      </c>
      <c r="E42" s="3">
        <v>9</v>
      </c>
      <c r="F42" s="3">
        <v>13</v>
      </c>
      <c r="G42" s="3">
        <v>999</v>
      </c>
      <c r="J42" s="1" t="s">
        <v>46</v>
      </c>
      <c r="K42" s="4">
        <f t="shared" si="5"/>
        <v>9.5357095883203996E-4</v>
      </c>
      <c r="L42" s="4">
        <f t="shared" si="0"/>
        <v>7.1353413126397473E-3</v>
      </c>
      <c r="M42" s="4">
        <f t="shared" si="1"/>
        <v>1.614494278574247E-2</v>
      </c>
      <c r="N42" s="4">
        <f t="shared" si="2"/>
        <v>2.9593581480994347E-4</v>
      </c>
      <c r="O42" s="4">
        <f t="shared" si="3"/>
        <v>4.2746284361436276E-4</v>
      </c>
      <c r="P42" s="4">
        <f t="shared" si="4"/>
        <v>3.2848875443903719E-2</v>
      </c>
    </row>
    <row r="43" spans="1:16" x14ac:dyDescent="0.25">
      <c r="A43" s="1" t="s">
        <v>47</v>
      </c>
      <c r="B43" s="3">
        <v>3</v>
      </c>
      <c r="C43" s="3">
        <v>0</v>
      </c>
      <c r="D43" s="3">
        <v>100</v>
      </c>
      <c r="E43" s="3">
        <v>2</v>
      </c>
      <c r="F43" s="3">
        <v>4</v>
      </c>
      <c r="G43" s="3">
        <v>576</v>
      </c>
      <c r="J43" s="1" t="s">
        <v>47</v>
      </c>
      <c r="K43" s="4">
        <f t="shared" si="5"/>
        <v>9.864527160331448E-5</v>
      </c>
      <c r="L43" s="4">
        <f t="shared" si="0"/>
        <v>0</v>
      </c>
      <c r="M43" s="4">
        <f t="shared" si="1"/>
        <v>3.2881757201104829E-3</v>
      </c>
      <c r="N43" s="4">
        <f t="shared" si="2"/>
        <v>6.5763514402209658E-5</v>
      </c>
      <c r="O43" s="4">
        <f t="shared" si="3"/>
        <v>1.3152702880441932E-4</v>
      </c>
      <c r="P43" s="4">
        <f t="shared" si="4"/>
        <v>1.8939892147836382E-2</v>
      </c>
    </row>
    <row r="44" spans="1:16" x14ac:dyDescent="0.25">
      <c r="A44" s="1" t="s">
        <v>48</v>
      </c>
      <c r="B44" s="3">
        <v>0</v>
      </c>
      <c r="C44" s="3">
        <v>0</v>
      </c>
      <c r="D44" s="3">
        <v>84</v>
      </c>
      <c r="E44" s="3">
        <v>5</v>
      </c>
      <c r="F44" s="3">
        <v>1</v>
      </c>
      <c r="G44" s="3">
        <v>699</v>
      </c>
      <c r="J44" s="1" t="s">
        <v>48</v>
      </c>
      <c r="K44" s="4">
        <f t="shared" si="5"/>
        <v>0</v>
      </c>
      <c r="L44" s="4">
        <f t="shared" si="0"/>
        <v>0</v>
      </c>
      <c r="M44" s="4">
        <f t="shared" si="1"/>
        <v>2.7620676048928055E-3</v>
      </c>
      <c r="N44" s="4">
        <f t="shared" si="2"/>
        <v>1.6440878600552412E-4</v>
      </c>
      <c r="O44" s="4">
        <f t="shared" si="3"/>
        <v>3.2881757201104829E-5</v>
      </c>
      <c r="P44" s="4">
        <f t="shared" si="4"/>
        <v>2.2984348283572275E-2</v>
      </c>
    </row>
    <row r="45" spans="1:16" x14ac:dyDescent="0.25">
      <c r="A45" s="1" t="s">
        <v>49</v>
      </c>
      <c r="B45" s="3">
        <v>6</v>
      </c>
      <c r="C45" s="3">
        <v>1</v>
      </c>
      <c r="D45" s="3">
        <v>144</v>
      </c>
      <c r="E45" s="3">
        <v>4</v>
      </c>
      <c r="F45" s="3">
        <v>4</v>
      </c>
      <c r="G45" s="3">
        <v>1006</v>
      </c>
      <c r="J45" s="1" t="s">
        <v>49</v>
      </c>
      <c r="K45" s="4">
        <f t="shared" si="5"/>
        <v>1.9729054320662896E-4</v>
      </c>
      <c r="L45" s="4">
        <f t="shared" si="0"/>
        <v>3.2881757201104829E-5</v>
      </c>
      <c r="M45" s="4">
        <f t="shared" si="1"/>
        <v>4.7349730369590955E-3</v>
      </c>
      <c r="N45" s="4">
        <f t="shared" si="2"/>
        <v>1.3152702880441932E-4</v>
      </c>
      <c r="O45" s="4">
        <f t="shared" si="3"/>
        <v>1.3152702880441932E-4</v>
      </c>
      <c r="P45" s="4">
        <f t="shared" si="4"/>
        <v>3.3079047744311453E-2</v>
      </c>
    </row>
    <row r="46" spans="1:16" x14ac:dyDescent="0.25">
      <c r="A46" s="1" t="s">
        <v>50</v>
      </c>
      <c r="B46" s="3">
        <v>2</v>
      </c>
      <c r="C46" s="3">
        <v>0</v>
      </c>
      <c r="D46" s="3">
        <v>61</v>
      </c>
      <c r="E46" s="3">
        <v>5</v>
      </c>
      <c r="F46" s="3">
        <v>0</v>
      </c>
      <c r="G46" s="3">
        <v>99</v>
      </c>
      <c r="J46" s="1" t="s">
        <v>50</v>
      </c>
      <c r="K46" s="4">
        <f t="shared" si="5"/>
        <v>6.5763514402209658E-5</v>
      </c>
      <c r="L46" s="4">
        <f t="shared" si="0"/>
        <v>0</v>
      </c>
      <c r="M46" s="4">
        <f t="shared" si="1"/>
        <v>2.0057871892673945E-3</v>
      </c>
      <c r="N46" s="4">
        <f t="shared" si="2"/>
        <v>1.6440878600552412E-4</v>
      </c>
      <c r="O46" s="4">
        <f t="shared" si="3"/>
        <v>0</v>
      </c>
      <c r="P46" s="4">
        <f t="shared" si="4"/>
        <v>3.2552939629093779E-3</v>
      </c>
    </row>
    <row r="47" spans="1:16" x14ac:dyDescent="0.25">
      <c r="A47" s="1" t="s">
        <v>51</v>
      </c>
      <c r="B47" s="3">
        <v>0</v>
      </c>
      <c r="C47" s="3">
        <v>4</v>
      </c>
      <c r="D47" s="3">
        <v>52</v>
      </c>
      <c r="E47" s="3">
        <v>2</v>
      </c>
      <c r="F47" s="3">
        <v>0</v>
      </c>
      <c r="G47" s="3">
        <v>676</v>
      </c>
      <c r="J47" s="1" t="s">
        <v>51</v>
      </c>
      <c r="K47" s="4">
        <f t="shared" si="5"/>
        <v>0</v>
      </c>
      <c r="L47" s="4">
        <f t="shared" si="0"/>
        <v>1.3152702880441932E-4</v>
      </c>
      <c r="M47" s="4">
        <f t="shared" si="1"/>
        <v>1.709851374457451E-3</v>
      </c>
      <c r="N47" s="4">
        <f t="shared" si="2"/>
        <v>6.5763514402209658E-5</v>
      </c>
      <c r="O47" s="4">
        <f t="shared" si="3"/>
        <v>0</v>
      </c>
      <c r="P47" s="4">
        <f t="shared" si="4"/>
        <v>2.2228067867946864E-2</v>
      </c>
    </row>
    <row r="48" spans="1:16" x14ac:dyDescent="0.25">
      <c r="A48" s="1" t="s">
        <v>52</v>
      </c>
      <c r="B48" s="3">
        <v>2</v>
      </c>
      <c r="C48" s="3">
        <v>1</v>
      </c>
      <c r="D48" s="3">
        <v>45</v>
      </c>
      <c r="E48" s="3">
        <v>1</v>
      </c>
      <c r="F48" s="3">
        <v>0</v>
      </c>
      <c r="G48" s="3">
        <v>186</v>
      </c>
      <c r="J48" s="1" t="s">
        <v>52</v>
      </c>
      <c r="K48" s="4">
        <f t="shared" si="5"/>
        <v>6.5763514402209658E-5</v>
      </c>
      <c r="L48" s="4">
        <f t="shared" si="0"/>
        <v>3.2881757201104829E-5</v>
      </c>
      <c r="M48" s="4">
        <f t="shared" si="1"/>
        <v>1.4796790740497171E-3</v>
      </c>
      <c r="N48" s="4">
        <f t="shared" si="2"/>
        <v>3.2881757201104829E-5</v>
      </c>
      <c r="O48" s="4">
        <f t="shared" si="3"/>
        <v>0</v>
      </c>
      <c r="P48" s="4">
        <f t="shared" si="4"/>
        <v>6.1160068394054976E-3</v>
      </c>
    </row>
  </sheetData>
  <mergeCells count="2">
    <mergeCell ref="B1:G1"/>
    <mergeCell ref="K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Vendors</cp:lastModifiedBy>
  <dcterms:created xsi:type="dcterms:W3CDTF">2019-07-04T13:27:46Z</dcterms:created>
  <dcterms:modified xsi:type="dcterms:W3CDTF">2019-07-04T13:28:47Z</dcterms:modified>
</cp:coreProperties>
</file>